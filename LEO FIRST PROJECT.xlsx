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Pictures\Documents\Desktop\data analtics\"/>
    </mc:Choice>
  </mc:AlternateContent>
  <xr:revisionPtr revIDLastSave="0" documentId="8_{E5ECB315-6F8A-498D-88B3-55C296EE243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O13" i="1" l="1"/>
  <c r="O14" i="1"/>
  <c r="I22" i="1"/>
  <c r="I21" i="1"/>
  <c r="I16" i="1"/>
  <c r="I15" i="1"/>
  <c r="O6" i="1"/>
  <c r="O5" i="1"/>
  <c r="O4" i="1"/>
  <c r="O3" i="1"/>
  <c r="L2" i="1" a="1"/>
  <c r="L2" i="1" s="1"/>
  <c r="I7" i="1"/>
  <c r="I6" i="1"/>
  <c r="I5" i="1"/>
  <c r="I4" i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<sst xmlns="http://schemas.openxmlformats.org/spreadsheetml/2006/main" count="180" uniqueCount="119">
  <si>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</si>
  <si>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</si>
  <si>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</si>
  <si>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</si>
  <si>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</si>
  <si>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</si>
  <si>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</si>
  <si>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</si>
  <si>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</si>
  <si>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</si>
  <si>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</si>
  <si>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</si>
  <si>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</si>
  <si>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</si>
  <si>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</si>
  <si>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</si>
  <si>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</si>
  <si>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</si>
  <si>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</si>
  <si>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</si>
  <si>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</si>
  <si>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</si>
  <si>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</si>
  <si>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</si>
  <si>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</si>
  <si>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</si>
  <si>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</si>
  <si>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</si>
  <si>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</si>
  <si>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</si>
  <si>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</si>
  <si>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</si>
  <si>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</si>
  <si>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</si>
  <si>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</si>
  <si>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</si>
  <si>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</si>
  <si>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</si>
  <si>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</si>
  <si>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</si>
  <si>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</si>
  <si>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</si>
  <si>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</si>
  <si>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</si>
  <si>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</si>
  <si>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</si>
  <si>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</si>
  <si>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</si>
  <si>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</si>
  <si>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</si>
  <si>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</si>
  <si>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</si>
  <si>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</si>
  <si>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</si>
  <si>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</si>
  <si>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</si>
  <si>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</si>
  <si>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</si>
  <si>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</si>
  <si>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</si>
  <si>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</si>
  <si>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</si>
  <si>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</si>
  <si>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</si>
  <si>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</si>
  <si>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</si>
  <si>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</si>
  <si>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</si>
  <si>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</si>
  <si>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</si>
  <si>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</si>
  <si>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</si>
  <si>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</si>
  <si>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</si>
  <si>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</si>
  <si>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</si>
  <si>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</si>
  <si>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</si>
  <si>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</si>
  <si>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</si>
  <si>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</si>
  <si>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</si>
  <si>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</si>
  <si>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</si>
  <si>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</si>
  <si>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</si>
  <si>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</si>
  <si>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</si>
  <si>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</si>
  <si>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</si>
  <si>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</si>
  <si>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</si>
  <si>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</si>
  <si>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</si>
  <si>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</si>
  <si>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</si>
  <si>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minimum price</t>
  </si>
  <si>
    <t>maximum price</t>
  </si>
  <si>
    <t>Column1</t>
  </si>
  <si>
    <t>Column2</t>
  </si>
  <si>
    <t>OUTPUT</t>
  </si>
  <si>
    <t>FROMULA</t>
  </si>
  <si>
    <t>PRICE</t>
  </si>
  <si>
    <t xml:space="preserve">FORMULA </t>
  </si>
  <si>
    <t>SUMIF</t>
  </si>
  <si>
    <t>ELECTRONICS</t>
  </si>
  <si>
    <t>FASHION</t>
  </si>
  <si>
    <t>KITCHEN</t>
  </si>
  <si>
    <t>TOTAL</t>
  </si>
  <si>
    <t>OUTDOOR</t>
  </si>
  <si>
    <t>characters</t>
  </si>
  <si>
    <t>function</t>
  </si>
  <si>
    <t>laptop</t>
  </si>
  <si>
    <t>sneakers</t>
  </si>
  <si>
    <t>USING</t>
  </si>
  <si>
    <t>LEFT</t>
  </si>
  <si>
    <t xml:space="preserve">USING </t>
  </si>
  <si>
    <t>RIGHT</t>
  </si>
  <si>
    <t>MIID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</si>
</sst>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C81D2-954F-41B9-BC2D-78F187ECEBD4}" name="Table1" displayName="Table1" ref="H1:I7" totalsRowShown="0">
  <autoFilter ref="H1:I7" xr:uid="{30BC81D2-954F-41B9-BC2D-78F187ECEBD4}"/>
  <tableColumns count="2">
    <tableColumn id="1" xr3:uid="{C6AE1407-EED8-434E-AD0B-837A274918B7}" name="Column1"/>
    <tableColumn id="2" xr3:uid="{C7A8FF8B-F921-4E9F-9398-D16A8C3812EF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2DCF82-6AAC-48EB-AE32-A995C8BFC26D}" name="Table4" displayName="Table4" ref="N1:O6" totalsRowShown="0" headerRowDxfId="1">
  <autoFilter ref="N1:O6" xr:uid="{2B2DCF82-6AAC-48EB-AE32-A995C8BFC26D}"/>
  <tableColumns count="2">
    <tableColumn id="1" xr3:uid="{5BAC50F7-1C47-46D5-876D-854FC15702A0}" name="FORMULA " dataDxfId="0"/>
    <tableColumn id="2" xr3:uid="{6A910CE4-C3B8-40F4-A3DD-7BA27BA7DC8C}" name="OUTPU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1E2219-CE51-448C-9B23-A1A4147B536A}" name="Table2" displayName="Table2" ref="H13:I16" totalsRowShown="0">
  <autoFilter ref="H13:I16" xr:uid="{A81E2219-CE51-448C-9B23-A1A4147B536A}"/>
  <tableColumns count="2">
    <tableColumn id="1" xr3:uid="{057446FA-B524-4A0A-84B4-69BB89D5FFD9}" name="Column1"/>
    <tableColumn id="2" xr3:uid="{7119AC23-2B38-4DFB-AD7C-AEB4675180E1}" name="Column2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C6EA3A-FC1F-4CC9-A892-30627663E9EB}" name="Table3" displayName="Table3" ref="H19:I22" totalsRowShown="0">
  <autoFilter ref="H19:I22" xr:uid="{8BC6EA3A-FC1F-4CC9-A892-30627663E9EB}"/>
  <tableColumns count="2">
    <tableColumn id="1" xr3:uid="{4260032E-0BB5-42CF-8F27-A90A992CD670}" name="Column1"/>
    <tableColumn id="2" xr3:uid="{37DC4A39-0CA5-4D2C-A7ED-B86ADBF11EA5}" name="Column2">
      <calculatedColumnFormula>RIGHT(A33,2)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022679-7CD9-4E84-98BF-1D33A82D2E4F}" name="Table5" displayName="Table5" ref="N11:O14" totalsRowShown="0">
  <autoFilter ref="N11:O14" xr:uid="{F3022679-7CD9-4E84-98BF-1D33A82D2E4F}"/>
  <tableColumns count="2">
    <tableColumn id="1" xr3:uid="{C37A0F8E-1A04-4D41-9439-24ABF6D754BA}" name="Column1"/>
    <tableColumn id="2" xr3:uid="{E2D532B0-21AD-4640-A416-FD6C5E10C168}" name="Column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="85" workbookViewId="0">
      <selection activeCell="J31" sqref="J31"/>
    </sheetView>
  </sheetViews>
  <sheetFormatPr defaultColWidth="12.5703125" defaultRowHeight="15" customHeight="1" x14ac:dyDescent="0.2"/>
  <cols>
    <col min="2" max="2" width="14.140625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t="s">
        <v>98</v>
      </c>
      <c r="I1" t="s">
        <v>99</v>
      </c>
      <c r="L1" s="7" t="s">
        <v>102</v>
      </c>
      <c r="N1" s="7" t="s">
        <v>103</v>
      </c>
      <c r="O1" s="7" t="s">
        <v>100</v>
      </c>
    </row>
    <row r="2" spans="1:15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  <c r="H2" s="6" t="s">
        <v>101</v>
      </c>
      <c r="I2" s="6" t="s">
        <v>100</v>
      </c>
      <c r="L2" t="str" cm="1">
        <f t="array" ref="L2:L35">IF(D2:D35&gt;=500,"High Price","Standard Price")</f>
        <v>High Price</v>
      </c>
      <c r="N2" s="7" t="s">
        <v>104</v>
      </c>
      <c r="O2" s="7" t="s">
        <v>108</v>
      </c>
    </row>
    <row r="3" spans="1:15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  <c r="H3" t="s">
        <v>93</v>
      </c>
      <c r="I3">
        <f>SUM(D2:D35)</f>
        <v>10100</v>
      </c>
      <c r="L3" t="str">
        <v>Standard Price</v>
      </c>
      <c r="N3" s="7" t="s">
        <v>105</v>
      </c>
      <c r="O3">
        <f>SUMIF(F2:F35,"Electronics",D2:D35)</f>
        <v>8050</v>
      </c>
    </row>
    <row r="4" spans="1:15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  <c r="H4" t="s">
        <v>94</v>
      </c>
      <c r="I4">
        <f>COUNT(D2:D35)</f>
        <v>34</v>
      </c>
      <c r="L4" t="str">
        <v>Standard Price</v>
      </c>
      <c r="N4" s="7" t="s">
        <v>106</v>
      </c>
      <c r="O4">
        <f>SUMIF(F2:F35,"Fashion",D2:D35)</f>
        <v>590</v>
      </c>
    </row>
    <row r="5" spans="1:15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  <c r="H5" t="s">
        <v>95</v>
      </c>
      <c r="I5">
        <f>AVERAGE(D2:D35)</f>
        <v>297.05882352941177</v>
      </c>
      <c r="L5" t="str">
        <v>High Price</v>
      </c>
      <c r="N5" s="7" t="s">
        <v>107</v>
      </c>
      <c r="O5">
        <f>SUMIF(F2:F35,"KITCHEN",D2:D35)</f>
        <v>860</v>
      </c>
    </row>
    <row r="6" spans="1:15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  <c r="H6" t="s">
        <v>96</v>
      </c>
      <c r="I6">
        <f>MIN(D2:D35)</f>
        <v>30</v>
      </c>
      <c r="L6" t="str">
        <v>Standard Price</v>
      </c>
      <c r="N6" s="7" t="s">
        <v>109</v>
      </c>
      <c r="O6">
        <f>SUMIF(F2:F35,"OUTDOOR",D2:D35)</f>
        <v>400</v>
      </c>
    </row>
    <row r="7" spans="1:15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  <c r="H7" t="s">
        <v>97</v>
      </c>
      <c r="I7">
        <f>MAX(D2:D35)</f>
        <v>1000</v>
      </c>
      <c r="L7" t="str">
        <v>Standard Price</v>
      </c>
    </row>
    <row r="8" spans="1:15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  <c r="L8" t="str">
        <v>Standard Price</v>
      </c>
    </row>
    <row r="9" spans="1:15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  <c r="L9" t="str">
        <v>Standard Price</v>
      </c>
    </row>
    <row r="10" spans="1:15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  <c r="L10" t="str">
        <v>High Price</v>
      </c>
    </row>
    <row r="11" spans="1:15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  <c r="L11" t="str">
        <v>Standard Price</v>
      </c>
      <c r="N11" t="s">
        <v>98</v>
      </c>
      <c r="O11" t="s">
        <v>99</v>
      </c>
    </row>
    <row r="12" spans="1:15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  <c r="H12" t="s">
        <v>114</v>
      </c>
      <c r="I12" t="s">
        <v>115</v>
      </c>
      <c r="L12" t="str">
        <v>High Price</v>
      </c>
      <c r="N12" t="s">
        <v>116</v>
      </c>
      <c r="O12" t="s">
        <v>118</v>
      </c>
    </row>
    <row r="13" spans="1:15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  <c r="H13" t="s">
        <v>98</v>
      </c>
      <c r="I13" t="s">
        <v>99</v>
      </c>
      <c r="L13" t="str">
        <v>Standard Price</v>
      </c>
      <c r="N13" t="s">
        <v>18</v>
      </c>
      <c r="O13" t="str">
        <f>MID(A5,3,5)</f>
        <v>-APR-</v>
      </c>
    </row>
    <row r="14" spans="1:15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  <c r="H14" t="s">
        <v>110</v>
      </c>
      <c r="I14" t="s">
        <v>111</v>
      </c>
      <c r="L14" t="str">
        <v>Standard Price</v>
      </c>
      <c r="N14" t="s">
        <v>25</v>
      </c>
      <c r="O14" t="str">
        <f>MID(A7,3,5)</f>
        <v>-JUN-</v>
      </c>
    </row>
    <row r="15" spans="1:15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  <c r="H15" t="s">
        <v>112</v>
      </c>
      <c r="I15" t="str">
        <f>LEFT(B2,3)</f>
        <v>Lap</v>
      </c>
      <c r="L15" t="str">
        <v>Standard Price</v>
      </c>
    </row>
    <row r="16" spans="1:15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  <c r="H16" t="s">
        <v>113</v>
      </c>
      <c r="I16" t="str">
        <f>LEFT(B3,5)</f>
        <v>Sneak</v>
      </c>
      <c r="L16" t="str">
        <v>Standard Price</v>
      </c>
    </row>
    <row r="17" spans="1:12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  <c r="L17" t="str">
        <v>Standard Price</v>
      </c>
    </row>
    <row r="18" spans="1:12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  <c r="L18" t="str">
        <v>Standard Price</v>
      </c>
    </row>
    <row r="19" spans="1:12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  <c r="H19" t="s">
        <v>98</v>
      </c>
      <c r="I19" t="s">
        <v>99</v>
      </c>
      <c r="L19" t="str">
        <v>High Price</v>
      </c>
    </row>
    <row r="20" spans="1:12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  <c r="H20" t="s">
        <v>116</v>
      </c>
      <c r="I20" t="s">
        <v>117</v>
      </c>
      <c r="L20" t="str">
        <v>Standard Price</v>
      </c>
    </row>
    <row r="21" spans="1:12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  <c r="H21" t="s">
        <v>40</v>
      </c>
      <c r="I21" t="str">
        <f>RIGHT(A34,2)</f>
        <v>IN</v>
      </c>
      <c r="L21" t="str">
        <v>Standard Price</v>
      </c>
    </row>
    <row r="22" spans="1:12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  <c r="H22" t="s">
        <v>90</v>
      </c>
      <c r="I22" t="str">
        <f>RIGHT(A35,2)</f>
        <v>FR</v>
      </c>
      <c r="L22" t="str">
        <v>High Price</v>
      </c>
    </row>
    <row r="23" spans="1:12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  <c r="L23" t="str">
        <v>Standard Price</v>
      </c>
    </row>
    <row r="24" spans="1:12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  <c r="L24" t="str">
        <v>Standard Price</v>
      </c>
    </row>
    <row r="25" spans="1:12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  <c r="L25" t="str">
        <v>Standard Price</v>
      </c>
    </row>
    <row r="26" spans="1:12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  <c r="L26" t="str">
        <v>High Price</v>
      </c>
    </row>
    <row r="27" spans="1:12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  <c r="L27" t="str">
        <v>Standard Price</v>
      </c>
    </row>
    <row r="28" spans="1:12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  <c r="L28" t="str">
        <v>Standard Price</v>
      </c>
    </row>
    <row r="29" spans="1:12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  <c r="L29" t="str">
        <v>Standard Price</v>
      </c>
    </row>
    <row r="30" spans="1:12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  <c r="L30" t="str">
        <v>Standard Price</v>
      </c>
    </row>
    <row r="31" spans="1:12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  <c r="L31" t="str">
        <v>Standard Price</v>
      </c>
    </row>
    <row r="32" spans="1:12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  <c r="L32" t="str">
        <v>Standard Price</v>
      </c>
    </row>
    <row r="33" spans="1:12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  <c r="L33" t="str">
        <v>Standard Price</v>
      </c>
    </row>
    <row r="34" spans="1:12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  <c r="L34" t="str">
        <v>High Price</v>
      </c>
    </row>
    <row r="35" spans="1:12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  <c r="L35" t="str">
        <v>Standard Price</v>
      </c>
    </row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CA033F6564D4EA8EC61A4CDFEC04E" ma:contentTypeVersion="4" ma:contentTypeDescription="Create a new document." ma:contentTypeScope="" ma:versionID="e2a856b08a34fa5e395ce7363bcdbf5e">
  <xsd:schema xmlns:xsd="http://www.w3.org/2001/XMLSchema" xmlns:xs="http://www.w3.org/2001/XMLSchema" xmlns:p="http://schemas.microsoft.com/office/2006/metadata/properties" xmlns:ns3="387fb7f6-eb0e-4bd6-9f7b-5d79ea843a03" targetNamespace="http://schemas.microsoft.com/office/2006/metadata/properties" ma:root="true" ma:fieldsID="018928f28ef0ef80c9ced98de23bd955" ns3:_="">
    <xsd:import namespace="387fb7f6-eb0e-4bd6-9f7b-5d79ea843a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fb7f6-eb0e-4bd6-9f7b-5d79ea843a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5A8787-9CA7-480B-917D-15BF3A4B8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7fb7f6-eb0e-4bd6-9f7b-5d79ea843a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06736B-F3CD-4C4D-88F2-31B69711AC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7E933-B5D7-465E-B782-7F404A05B96D}">
  <ds:schemaRefs>
    <ds:schemaRef ds:uri="http://schemas.microsoft.com/office/2006/documentManagement/types"/>
    <ds:schemaRef ds:uri="387fb7f6-eb0e-4bd6-9f7b-5d79ea843a03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S0369695</cp:lastModifiedBy>
  <dcterms:created xsi:type="dcterms:W3CDTF">2026-04-27T07:03:17Z</dcterms:created>
  <dcterms:modified xsi:type="dcterms:W3CDTF">2026-04-27T07:08:52Z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0x0101005C0CA033F6564D4EA8EC61A4CDFEC04E</vt:lpwstr>
  </property>
</Properties>
</file>